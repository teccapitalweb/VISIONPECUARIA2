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 de Costo" sheetId="1" state="visible" r:id="rId3"/>
    <sheet name="Lista de Precios" sheetId="2" state="visible" r:id="rId4"/>
    <sheet name="Guía rápi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<sst xmlns="http://schemas.openxmlformats.org/spreadsheetml/2006/main" count="80" uniqueCount="73">
  <si>
    <t xml:space="preserve">VISIÓN PECUARIA · CALCULADORA DE COSTO Y PRECIO DE VENTA</t>
  </si>
  <si>
    <t xml:space="preserve">Curso: Elaboración de Chorizo, Carne Enchilada y Embutidos Artesanales — Las celdas DORADAS son editables.</t>
  </si>
  <si>
    <t xml:space="preserve">1. Producto</t>
  </si>
  <si>
    <t xml:space="preserve">Nombre del producto</t>
  </si>
  <si>
    <t xml:space="preserve">Chorizo rojo mexicano</t>
  </si>
  <si>
    <t xml:space="preserve">Tamaño del lote (kg de carne)</t>
  </si>
  <si>
    <t xml:space="preserve">2. Ingredientes e insumos directos</t>
  </si>
  <si>
    <t xml:space="preserve">Ingrediente</t>
  </si>
  <si>
    <t xml:space="preserve">Cantidad</t>
  </si>
  <si>
    <t xml:space="preserve">Unidad</t>
  </si>
  <si>
    <t xml:space="preserve">Costo unitario ($)</t>
  </si>
  <si>
    <t xml:space="preserve">Importe ($)</t>
  </si>
  <si>
    <t xml:space="preserve">Notas</t>
  </si>
  <si>
    <t xml:space="preserve">Carne de cerdo (maciza)</t>
  </si>
  <si>
    <t xml:space="preserve">kg</t>
  </si>
  <si>
    <t xml:space="preserve">Grasa dorsal de cerdo</t>
  </si>
  <si>
    <t xml:space="preserve">Chile guajillo</t>
  </si>
  <si>
    <t xml:space="preserve">Chile ancho</t>
  </si>
  <si>
    <t xml:space="preserve">Ajo</t>
  </si>
  <si>
    <t xml:space="preserve">Vinagre</t>
  </si>
  <si>
    <t xml:space="preserve">L</t>
  </si>
  <si>
    <t xml:space="preserve">Sal común</t>
  </si>
  <si>
    <t xml:space="preserve">Sal de cura #1</t>
  </si>
  <si>
    <t xml:space="preserve">Seguridad</t>
  </si>
  <si>
    <t xml:space="preserve">Especias (comino, orégano, etc.)</t>
  </si>
  <si>
    <t xml:space="preserve">Mezcla</t>
  </si>
  <si>
    <t xml:space="preserve">Tripa natural de cerdo</t>
  </si>
  <si>
    <t xml:space="preserve">madeja</t>
  </si>
  <si>
    <t xml:space="preserve">SUBTOTAL materia prima</t>
  </si>
  <si>
    <t xml:space="preserve">3. Costos indirectos del lote</t>
  </si>
  <si>
    <t xml:space="preserve">Mano de obra</t>
  </si>
  <si>
    <t xml:space="preserve">Gas / energía / agua</t>
  </si>
  <si>
    <t xml:space="preserve">Empaque y etiquetas</t>
  </si>
  <si>
    <t xml:space="preserve">Renta / depreciación equipo (prorrateo)</t>
  </si>
  <si>
    <t xml:space="preserve">Otros</t>
  </si>
  <si>
    <t xml:space="preserve">SUBTOTAL indirectos</t>
  </si>
  <si>
    <t xml:space="preserve">4. Resultados del lote</t>
  </si>
  <si>
    <t xml:space="preserve">Factor de rendimiento (kg producto / kg carne)</t>
  </si>
  <si>
    <t xml:space="preserve">Kg de producto terminado</t>
  </si>
  <si>
    <t xml:space="preserve">COSTO TOTAL del lote (materia prima + indirectos)</t>
  </si>
  <si>
    <t xml:space="preserve">COSTO POR KILO</t>
  </si>
  <si>
    <t xml:space="preserve">Margen de ganancia deseado (%)</t>
  </si>
  <si>
    <t xml:space="preserve">PRECIO DE VENTA SUGERIDO por kg</t>
  </si>
  <si>
    <t xml:space="preserve">Utilidad por kg</t>
  </si>
  <si>
    <t xml:space="preserve">Utilidad total del lote</t>
  </si>
  <si>
    <t xml:space="preserve">LISTA DE PRECIOS SUGERIDOS</t>
  </si>
  <si>
    <t xml:space="preserve">Calculada a partir del COSTO POR KILO de la hoja anterior. Cambia los márgenes en dorado si quieres.</t>
  </si>
  <si>
    <t xml:space="preserve">Costo por kilo (de la calculadora):</t>
  </si>
  <si>
    <t xml:space="preserve">Margen</t>
  </si>
  <si>
    <t xml:space="preserve">Precio / kg</t>
  </si>
  <si>
    <t xml:space="preserve">Precio / 500 g</t>
  </si>
  <si>
    <t xml:space="preserve">Precio / 250 g</t>
  </si>
  <si>
    <t xml:space="preserve">Utilidad / kg</t>
  </si>
  <si>
    <t xml:space="preserve">Tip de precio:  el margen se aplica sobre el precio de venta (markup inverso), no sobre el costo. Con 40% de margen, de cada $100 vendidos $40 son utilidad bruta. Compara siempre tu precio sugerido contra el de la competencia local antes de fijarlo.</t>
  </si>
  <si>
    <t xml:space="preserve">CÓMO USAR LA CALCULADORA</t>
  </si>
  <si>
    <t xml:space="preserve">1.</t>
  </si>
  <si>
    <t xml:space="preserve">Escribe el nombre del producto y el tamaño del lote (kg de carne).</t>
  </si>
  <si>
    <t xml:space="preserve">2.</t>
  </si>
  <si>
    <t xml:space="preserve">Llena la tabla de ingredientes: cantidad y costo unitario. El importe se calcula solo.</t>
  </si>
  <si>
    <t xml:space="preserve">3.</t>
  </si>
  <si>
    <t xml:space="preserve">Ajusta los costos indirectos del lote (mano de obra, empaque, energía, etc.).</t>
  </si>
  <si>
    <t xml:space="preserve">4.</t>
  </si>
  <si>
    <t xml:space="preserve">Revisa el factor de rendimiento (cuántos kg de producto salen por kg de carne).</t>
  </si>
  <si>
    <t xml:space="preserve">5.</t>
  </si>
  <si>
    <t xml:space="preserve">Define tu margen de ganancia. La calculadora te da el precio de venta sugerido.</t>
  </si>
  <si>
    <t xml:space="preserve">6.</t>
  </si>
  <si>
    <t xml:space="preserve">En 'Lista de Precios' ves los precios por kg, 500 g y 250 g a varios márgenes.</t>
  </si>
  <si>
    <t xml:space="preserve">Solo edita</t>
  </si>
  <si>
    <t xml:space="preserve">las celdas DORADAS. Las blancas son fórmulas: no las toques.</t>
  </si>
  <si>
    <t xml:space="preserve">Factores de rendimiento</t>
  </si>
  <si>
    <t xml:space="preserve">Chorizo: 1.10-1.15  ·  Longaniza oreada: 0.90-1.00  ·  Carne enchilada: 1.05-1.10</t>
  </si>
  <si>
    <t xml:space="preserve">Margen recomendado</t>
  </si>
  <si>
    <t xml:space="preserve">Embutido artesanal: 40-60% según plaza y presentación.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</si>
</sst>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.000"/>
    <numFmt numFmtId="167" formatCode="\$#,##0.00"/>
    <numFmt numFmtId="168" formatCode="#,##0.00"/>
    <numFmt numFmtId="169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D1B3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B3A6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D1B3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D1B3E"/>
      <name val="Arial"/>
      <family val="0"/>
      <charset val="1"/>
    </font>
    <font>
      <b val="true"/>
      <sz val="12"/>
      <color rgb="FF1E7A3D"/>
      <name val="Arial"/>
      <family val="0"/>
      <charset val="1"/>
    </font>
    <font>
      <b val="true"/>
      <sz val="10"/>
      <color rgb="FF1E7A3D"/>
      <name val="Arial"/>
      <family val="0"/>
      <charset val="1"/>
    </font>
    <font>
      <b val="true"/>
      <sz val="16"/>
      <color rgb="FF0D1B3E"/>
      <name val="Arial"/>
      <family val="0"/>
      <charset val="1"/>
    </font>
    <font>
      <sz val="10"/>
      <color rgb="FF1E7A3D"/>
      <name val="Arial"/>
      <family val="0"/>
      <charset val="1"/>
    </font>
    <font>
      <b val="true"/>
      <sz val="11"/>
      <color rgb="FFC9A227"/>
      <name val="Arial"/>
      <family val="0"/>
      <charset val="1"/>
    </font>
    <font>
      <b val="true"/>
      <sz val="11"/>
      <color rgb="FF1B3A6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3E3B3"/>
        <bgColor rgb="FFEFE7CC"/>
      </patternFill>
    </fill>
    <fill>
      <patternFill patternType="solid">
        <fgColor rgb="FF0D1B3E"/>
        <bgColor rgb="FF003300"/>
      </patternFill>
    </fill>
    <fill>
      <patternFill patternType="solid">
        <fgColor rgb="FFEFE7CC"/>
        <bgColor rgb="FFF3E3B3"/>
      </patternFill>
    </fill>
    <fill>
      <patternFill patternType="solid">
        <fgColor rgb="FFE2EFDA"/>
        <bgColor rgb="FFEFE7CC"/>
      </patternFill>
    </fill>
    <fill>
      <patternFill patternType="solid">
        <fgColor rgb="FFFAF6E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C0A0"/>
      </left>
      <right/>
      <top style="thin">
        <color rgb="FFC9C0A0"/>
      </top>
      <bottom style="thin">
        <color rgb="FFC9C0A0"/>
      </bottom>
      <diagonal/>
    </border>
    <border diagonalUp="false" diagonalDown="false">
      <left style="thin">
        <color rgb="FFC9C0A0"/>
      </left>
      <right style="thin">
        <color rgb="FFC9C0A0"/>
      </right>
      <top style="thin">
        <color rgb="FFC9C0A0"/>
      </top>
      <bottom style="thin">
        <color rgb="FFC9C0A0"/>
      </bottom>
      <diagonal/>
    </border>
    <border diagonalUp="false" diagonalDown="false">
      <left style="thin">
        <color rgb="FFC9C0A0"/>
      </left>
      <right/>
      <top style="thin">
        <color rgb="FFC9C0A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D"/>
      <rgbColor rgb="FF000080"/>
      <rgbColor rgb="FF808000"/>
      <rgbColor rgb="FF800080"/>
      <rgbColor rgb="FF008080"/>
      <rgbColor rgb="FFC9C0A0"/>
      <rgbColor rgb="FF808080"/>
      <rgbColor rgb="FF9999FF"/>
      <rgbColor rgb="FF993366"/>
      <rgbColor rgb="FFFAF6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EFE7CC"/>
      <rgbColor rgb="FF99CCFF"/>
      <rgbColor rgb="FFFF99CC"/>
      <rgbColor rgb="FFCC99FF"/>
      <rgbColor rgb="FFF3E3B3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0D1B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4" t="s">
        <v>5</v>
      </c>
      <c r="F5" s="6" t="n">
        <v>10</v>
      </c>
    </row>
    <row r="7" customFormat="false" ht="15" hidden="false" customHeight="false" outlineLevel="0" collapsed="false">
      <c r="A7" s="3" t="s">
        <v>6</v>
      </c>
      <c r="B7" s="3"/>
      <c r="C7" s="3"/>
      <c r="D7" s="3"/>
      <c r="E7" s="3"/>
      <c r="F7" s="3"/>
    </row>
    <row r="8" customFormat="false" ht="27.75" hidden="false" customHeight="true" outlineLevel="0" collapsed="false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</row>
    <row r="9" customFormat="false" ht="15" hidden="false" customHeight="false" outlineLevel="0" collapsed="false">
      <c r="A9" s="8" t="s">
        <v>13</v>
      </c>
      <c r="B9" s="9" t="n">
        <v>8</v>
      </c>
      <c r="C9" s="10" t="s">
        <v>14</v>
      </c>
      <c r="D9" s="11" t="n">
        <v>95</v>
      </c>
      <c r="E9" s="12" t="n">
        <f aca="false">IF(OR(B9="",D9=""),0,B9*D9)</f>
        <v>760</v>
      </c>
      <c r="F9" s="13"/>
    </row>
    <row r="10" customFormat="false" ht="15" hidden="false" customHeight="false" outlineLevel="0" collapsed="false">
      <c r="A10" s="8" t="s">
        <v>15</v>
      </c>
      <c r="B10" s="9" t="n">
        <v>2</v>
      </c>
      <c r="C10" s="10" t="s">
        <v>14</v>
      </c>
      <c r="D10" s="11" t="n">
        <v>35</v>
      </c>
      <c r="E10" s="12" t="n">
        <f aca="false">IF(OR(B10="",D10=""),0,B10*D10)</f>
        <v>70</v>
      </c>
      <c r="F10" s="13"/>
    </row>
    <row r="11" customFormat="false" ht="15" hidden="false" customHeight="false" outlineLevel="0" collapsed="false">
      <c r="A11" s="8" t="s">
        <v>16</v>
      </c>
      <c r="B11" s="9" t="n">
        <v>0.4</v>
      </c>
      <c r="C11" s="10" t="s">
        <v>14</v>
      </c>
      <c r="D11" s="11" t="n">
        <v>180</v>
      </c>
      <c r="E11" s="12" t="n">
        <f aca="false">IF(OR(B11="",D11=""),0,B11*D11)</f>
        <v>72</v>
      </c>
      <c r="F11" s="13"/>
    </row>
    <row r="12" customFormat="false" ht="15" hidden="false" customHeight="false" outlineLevel="0" collapsed="false">
      <c r="A12" s="8" t="s">
        <v>17</v>
      </c>
      <c r="B12" s="9" t="n">
        <v>0.2</v>
      </c>
      <c r="C12" s="10" t="s">
        <v>14</v>
      </c>
      <c r="D12" s="11" t="n">
        <v>160</v>
      </c>
      <c r="E12" s="12" t="n">
        <f aca="false">IF(OR(B12="",D12=""),0,B12*D12)</f>
        <v>32</v>
      </c>
      <c r="F12" s="13"/>
    </row>
    <row r="13" customFormat="false" ht="15" hidden="false" customHeight="false" outlineLevel="0" collapsed="false">
      <c r="A13" s="8" t="s">
        <v>18</v>
      </c>
      <c r="B13" s="9" t="n">
        <v>0.2</v>
      </c>
      <c r="C13" s="10" t="s">
        <v>14</v>
      </c>
      <c r="D13" s="11" t="n">
        <v>60</v>
      </c>
      <c r="E13" s="12" t="n">
        <f aca="false">IF(OR(B13="",D13=""),0,B13*D13)</f>
        <v>12</v>
      </c>
      <c r="F13" s="13"/>
    </row>
    <row r="14" customFormat="false" ht="15" hidden="false" customHeight="false" outlineLevel="0" collapsed="false">
      <c r="A14" s="8" t="s">
        <v>19</v>
      </c>
      <c r="B14" s="9" t="n">
        <v>0.6</v>
      </c>
      <c r="C14" s="10" t="s">
        <v>20</v>
      </c>
      <c r="D14" s="11" t="n">
        <v>25</v>
      </c>
      <c r="E14" s="12" t="n">
        <f aca="false">IF(OR(B14="",D14=""),0,B14*D14)</f>
        <v>15</v>
      </c>
      <c r="F14" s="13"/>
    </row>
    <row r="15" customFormat="false" ht="15" hidden="false" customHeight="false" outlineLevel="0" collapsed="false">
      <c r="A15" s="8" t="s">
        <v>21</v>
      </c>
      <c r="B15" s="9" t="n">
        <v>0.2</v>
      </c>
      <c r="C15" s="10" t="s">
        <v>14</v>
      </c>
      <c r="D15" s="11" t="n">
        <v>12</v>
      </c>
      <c r="E15" s="12" t="n">
        <f aca="false">IF(OR(B15="",D15=""),0,B15*D15)</f>
        <v>2.4</v>
      </c>
      <c r="F15" s="13"/>
    </row>
    <row r="16" customFormat="false" ht="15" hidden="false" customHeight="false" outlineLevel="0" collapsed="false">
      <c r="A16" s="8" t="s">
        <v>22</v>
      </c>
      <c r="B16" s="9" t="n">
        <v>0.025</v>
      </c>
      <c r="C16" s="10" t="s">
        <v>14</v>
      </c>
      <c r="D16" s="11" t="n">
        <v>180</v>
      </c>
      <c r="E16" s="12" t="n">
        <f aca="false">IF(OR(B16="",D16=""),0,B16*D16)</f>
        <v>4.5</v>
      </c>
      <c r="F16" s="13" t="s">
        <v>23</v>
      </c>
    </row>
    <row r="17" customFormat="false" ht="15" hidden="false" customHeight="false" outlineLevel="0" collapsed="false">
      <c r="A17" s="8" t="s">
        <v>24</v>
      </c>
      <c r="B17" s="9" t="n">
        <v>0.1</v>
      </c>
      <c r="C17" s="10" t="s">
        <v>14</v>
      </c>
      <c r="D17" s="11" t="n">
        <v>220</v>
      </c>
      <c r="E17" s="12" t="n">
        <f aca="false">IF(OR(B17="",D17=""),0,B17*D17)</f>
        <v>22</v>
      </c>
      <c r="F17" s="13" t="s">
        <v>25</v>
      </c>
    </row>
    <row r="18" customFormat="false" ht="15" hidden="false" customHeight="false" outlineLevel="0" collapsed="false">
      <c r="A18" s="8" t="s">
        <v>26</v>
      </c>
      <c r="B18" s="9" t="n">
        <v>1</v>
      </c>
      <c r="C18" s="10" t="s">
        <v>27</v>
      </c>
      <c r="D18" s="11" t="n">
        <v>90</v>
      </c>
      <c r="E18" s="12" t="n">
        <f aca="false">IF(OR(B18="",D18=""),0,B18*D18)</f>
        <v>90</v>
      </c>
      <c r="F18" s="13"/>
    </row>
    <row r="19" customFormat="false" ht="15" hidden="false" customHeight="false" outlineLevel="0" collapsed="false">
      <c r="A19" s="8"/>
      <c r="B19" s="9"/>
      <c r="C19" s="10"/>
      <c r="D19" s="11"/>
      <c r="E19" s="12" t="n">
        <f aca="false">IF(OR(B19="",D19=""),0,B19*D19)</f>
        <v>0</v>
      </c>
      <c r="F19" s="13"/>
    </row>
    <row r="20" customFormat="false" ht="15" hidden="false" customHeight="false" outlineLevel="0" collapsed="false">
      <c r="A20" s="8"/>
      <c r="B20" s="9"/>
      <c r="C20" s="10"/>
      <c r="D20" s="11"/>
      <c r="E20" s="12" t="n">
        <f aca="false">IF(OR(B20="",D20=""),0,B20*D20)</f>
        <v>0</v>
      </c>
      <c r="F20" s="13"/>
    </row>
    <row r="21" customFormat="false" ht="15" hidden="false" customHeight="false" outlineLevel="0" collapsed="false">
      <c r="A21" s="8"/>
      <c r="B21" s="9"/>
      <c r="C21" s="10"/>
      <c r="D21" s="11"/>
      <c r="E21" s="12" t="n">
        <f aca="false">IF(OR(B21="",D21=""),0,B21*D21)</f>
        <v>0</v>
      </c>
      <c r="F21" s="13"/>
    </row>
    <row r="22" customFormat="false" ht="15" hidden="false" customHeight="false" outlineLevel="0" collapsed="false">
      <c r="A22" s="8"/>
      <c r="B22" s="9"/>
      <c r="C22" s="10"/>
      <c r="D22" s="11"/>
      <c r="E22" s="12" t="n">
        <f aca="false">IF(OR(B22="",D22=""),0,B22*D22)</f>
        <v>0</v>
      </c>
      <c r="F22" s="13"/>
    </row>
    <row r="23" customFormat="false" ht="15" hidden="false" customHeight="false" outlineLevel="0" collapsed="false">
      <c r="A23" s="8"/>
      <c r="B23" s="9"/>
      <c r="C23" s="10"/>
      <c r="D23" s="11"/>
      <c r="E23" s="12" t="n">
        <f aca="false">IF(OR(B23="",D23=""),0,B23*D23)</f>
        <v>0</v>
      </c>
      <c r="F23" s="13"/>
    </row>
    <row r="24" customFormat="false" ht="15" hidden="false" customHeight="false" outlineLevel="0" collapsed="false">
      <c r="A24" s="8"/>
      <c r="B24" s="9"/>
      <c r="C24" s="10"/>
      <c r="D24" s="11"/>
      <c r="E24" s="12" t="n">
        <f aca="false">IF(OR(B24="",D24=""),0,B24*D24)</f>
        <v>0</v>
      </c>
      <c r="F24" s="13"/>
    </row>
    <row r="25" customFormat="false" ht="15" hidden="false" customHeight="false" outlineLevel="0" collapsed="false">
      <c r="A25" s="8"/>
      <c r="B25" s="9"/>
      <c r="C25" s="10"/>
      <c r="D25" s="11"/>
      <c r="E25" s="12" t="n">
        <f aca="false">IF(OR(B25="",D25=""),0,B25*D25)</f>
        <v>0</v>
      </c>
      <c r="F25" s="13"/>
    </row>
    <row r="26" customFormat="false" ht="15" hidden="false" customHeight="false" outlineLevel="0" collapsed="false">
      <c r="A26" s="8"/>
      <c r="B26" s="9"/>
      <c r="C26" s="10"/>
      <c r="D26" s="11"/>
      <c r="E26" s="12" t="n">
        <f aca="false">IF(OR(B26="",D26=""),0,B26*D26)</f>
        <v>0</v>
      </c>
      <c r="F26" s="13"/>
    </row>
    <row r="27" customFormat="false" ht="15" hidden="false" customHeight="false" outlineLevel="0" collapsed="false">
      <c r="A27" s="14" t="s">
        <v>28</v>
      </c>
      <c r="B27" s="14"/>
      <c r="C27" s="14"/>
      <c r="D27" s="14"/>
      <c r="E27" s="15" t="n">
        <f aca="false">SUM(E9:E26)</f>
        <v>1079.9</v>
      </c>
    </row>
    <row r="29" customFormat="false" ht="15" hidden="false" customHeight="false" outlineLevel="0" collapsed="false">
      <c r="A29" s="3" t="s">
        <v>29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8" t="s">
        <v>30</v>
      </c>
      <c r="B30" s="8"/>
      <c r="C30" s="8"/>
      <c r="D30" s="8"/>
      <c r="E30" s="11" t="n">
        <v>250</v>
      </c>
    </row>
    <row r="31" customFormat="false" ht="15" hidden="false" customHeight="false" outlineLevel="0" collapsed="false">
      <c r="A31" s="8" t="s">
        <v>31</v>
      </c>
      <c r="B31" s="8"/>
      <c r="C31" s="8"/>
      <c r="D31" s="8"/>
      <c r="E31" s="11" t="n">
        <v>60</v>
      </c>
    </row>
    <row r="32" customFormat="false" ht="15" hidden="false" customHeight="false" outlineLevel="0" collapsed="false">
      <c r="A32" s="8" t="s">
        <v>32</v>
      </c>
      <c r="B32" s="8"/>
      <c r="C32" s="8"/>
      <c r="D32" s="8"/>
      <c r="E32" s="11" t="n">
        <v>80</v>
      </c>
    </row>
    <row r="33" customFormat="false" ht="15" hidden="false" customHeight="false" outlineLevel="0" collapsed="false">
      <c r="A33" s="8" t="s">
        <v>33</v>
      </c>
      <c r="B33" s="8"/>
      <c r="C33" s="8"/>
      <c r="D33" s="8"/>
      <c r="E33" s="11" t="n">
        <v>100</v>
      </c>
    </row>
    <row r="34" customFormat="false" ht="15" hidden="false" customHeight="false" outlineLevel="0" collapsed="false">
      <c r="A34" s="8" t="s">
        <v>34</v>
      </c>
      <c r="B34" s="8"/>
      <c r="C34" s="8"/>
      <c r="D34" s="8"/>
      <c r="E34" s="11" t="n">
        <v>0</v>
      </c>
    </row>
    <row r="35" customFormat="false" ht="15" hidden="false" customHeight="false" outlineLevel="0" collapsed="false">
      <c r="A35" s="14" t="s">
        <v>35</v>
      </c>
      <c r="B35" s="14"/>
      <c r="C35" s="14"/>
      <c r="D35" s="14"/>
      <c r="E35" s="15" t="n">
        <f aca="false">SUM(E30:E34)</f>
        <v>490</v>
      </c>
    </row>
    <row r="37" customFormat="false" ht="15" hidden="false" customHeight="false" outlineLevel="0" collapsed="false">
      <c r="A37" s="3" t="s">
        <v>36</v>
      </c>
      <c r="B37" s="3"/>
      <c r="C37" s="3"/>
      <c r="D37" s="3"/>
      <c r="E37" s="3"/>
      <c r="F37" s="3"/>
    </row>
    <row r="38" customFormat="false" ht="15" hidden="false" customHeight="false" outlineLevel="0" collapsed="false">
      <c r="A38" s="16" t="s">
        <v>37</v>
      </c>
      <c r="B38" s="16"/>
      <c r="C38" s="16"/>
      <c r="D38" s="16"/>
      <c r="E38" s="17" t="n">
        <v>1.12</v>
      </c>
    </row>
    <row r="39" customFormat="false" ht="15" hidden="false" customHeight="false" outlineLevel="0" collapsed="false">
      <c r="A39" s="16" t="s">
        <v>38</v>
      </c>
      <c r="B39" s="16"/>
      <c r="C39" s="16"/>
      <c r="D39" s="16"/>
      <c r="E39" s="18" t="n">
        <f aca="false">F5*E38</f>
        <v>11.2</v>
      </c>
    </row>
    <row r="40" customFormat="false" ht="15" hidden="false" customHeight="false" outlineLevel="0" collapsed="false">
      <c r="A40" s="19" t="s">
        <v>39</v>
      </c>
      <c r="B40" s="19"/>
      <c r="C40" s="19"/>
      <c r="D40" s="19"/>
      <c r="E40" s="20" t="n">
        <f aca="false">E27+E35</f>
        <v>1569.9</v>
      </c>
    </row>
    <row r="41" customFormat="false" ht="15" hidden="false" customHeight="false" outlineLevel="0" collapsed="false">
      <c r="A41" s="21" t="s">
        <v>40</v>
      </c>
      <c r="B41" s="21"/>
      <c r="C41" s="21"/>
      <c r="D41" s="21"/>
      <c r="E41" s="15" t="n">
        <f aca="false">IF(E39=0,0,E40/E39)</f>
        <v>140.169642857143</v>
      </c>
    </row>
    <row r="42" customFormat="false" ht="15" hidden="false" customHeight="false" outlineLevel="0" collapsed="false">
      <c r="A42" s="19" t="s">
        <v>41</v>
      </c>
      <c r="B42" s="19"/>
      <c r="C42" s="19"/>
      <c r="D42" s="19"/>
      <c r="E42" s="22" t="n">
        <v>0.4</v>
      </c>
    </row>
    <row r="43" customFormat="false" ht="15" hidden="false" customHeight="false" outlineLevel="0" collapsed="false">
      <c r="A43" s="23" t="s">
        <v>42</v>
      </c>
      <c r="B43" s="23"/>
      <c r="C43" s="23"/>
      <c r="D43" s="23"/>
      <c r="E43" s="24" t="n">
        <f aca="false">IF((1-E42)=0,0,E41/(1-E42))</f>
        <v>233.616071428571</v>
      </c>
    </row>
    <row r="44" customFormat="false" ht="15" hidden="false" customHeight="false" outlineLevel="0" collapsed="false">
      <c r="A44" s="16" t="s">
        <v>43</v>
      </c>
      <c r="B44" s="16"/>
      <c r="C44" s="16"/>
      <c r="D44" s="16"/>
      <c r="E44" s="25" t="n">
        <f aca="false">E43-E41</f>
        <v>93.4464285714286</v>
      </c>
    </row>
    <row r="45" customFormat="false" ht="15" hidden="false" customHeight="false" outlineLevel="0" collapsed="false">
      <c r="A45" s="16" t="s">
        <v>44</v>
      </c>
      <c r="B45" s="16"/>
      <c r="C45" s="16"/>
      <c r="D45" s="16"/>
      <c r="E45" s="25" t="n">
        <f aca="false">(E43-E41)*E39</f>
        <v>1046.6</v>
      </c>
    </row>
  </sheetData>
  <mergeCells count="22">
    <mergeCell ref="A1:F1"/>
    <mergeCell ref="A2:F2"/>
    <mergeCell ref="A4:F4"/>
    <mergeCell ref="B5:C5"/>
    <mergeCell ref="A7:F7"/>
    <mergeCell ref="A27:D27"/>
    <mergeCell ref="A29:F29"/>
    <mergeCell ref="A30:D30"/>
    <mergeCell ref="A31:D31"/>
    <mergeCell ref="A32:D32"/>
    <mergeCell ref="A33:D33"/>
    <mergeCell ref="A34:D34"/>
    <mergeCell ref="A35:D35"/>
    <mergeCell ref="A37:F37"/>
    <mergeCell ref="A38:D38"/>
    <mergeCell ref="A39:D39"/>
    <mergeCell ref="A40:D40"/>
    <mergeCell ref="A41:D41"/>
    <mergeCell ref="A42:D42"/>
    <mergeCell ref="A43:D43"/>
    <mergeCell ref="A44:D4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26" t="s">
        <v>45</v>
      </c>
      <c r="B1" s="26"/>
      <c r="C1" s="26"/>
      <c r="D1" s="26"/>
      <c r="E1" s="26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</row>
    <row r="4" customFormat="false" ht="15" hidden="false" customHeight="false" outlineLevel="0" collapsed="false">
      <c r="A4" s="19" t="s">
        <v>47</v>
      </c>
      <c r="B4" s="19"/>
      <c r="C4" s="15" t="n">
        <f aca="false">'Calculadora de Costo'!E41</f>
        <v>140.169642857143</v>
      </c>
    </row>
    <row r="6" customFormat="false" ht="25.5" hidden="false" customHeight="true" outlineLevel="0" collapsed="false">
      <c r="A6" s="7" t="s">
        <v>48</v>
      </c>
      <c r="B6" s="7" t="s">
        <v>49</v>
      </c>
      <c r="C6" s="7" t="s">
        <v>50</v>
      </c>
      <c r="D6" s="7" t="s">
        <v>51</v>
      </c>
      <c r="E6" s="7" t="s">
        <v>52</v>
      </c>
    </row>
    <row r="7" customFormat="false" ht="15" hidden="false" customHeight="false" outlineLevel="0" collapsed="false">
      <c r="A7" s="22" t="n">
        <v>0.3</v>
      </c>
      <c r="B7" s="25" t="n">
        <f aca="false">IF((1-A7)=0,0,$C$4/(1-A7))</f>
        <v>200.242346938776</v>
      </c>
      <c r="C7" s="12" t="n">
        <f aca="false">B7*0.5</f>
        <v>100.121173469388</v>
      </c>
      <c r="D7" s="12" t="n">
        <f aca="false">B7*0.25</f>
        <v>50.0605867346939</v>
      </c>
      <c r="E7" s="27" t="n">
        <f aca="false">B7-$C$4</f>
        <v>60.0727040816327</v>
      </c>
    </row>
    <row r="8" customFormat="false" ht="15" hidden="false" customHeight="false" outlineLevel="0" collapsed="false">
      <c r="A8" s="22" t="n">
        <v>0.4</v>
      </c>
      <c r="B8" s="25" t="n">
        <f aca="false">IF((1-A8)=0,0,$C$4/(1-A8))</f>
        <v>233.616071428571</v>
      </c>
      <c r="C8" s="12" t="n">
        <f aca="false">B8*0.5</f>
        <v>116.808035714286</v>
      </c>
      <c r="D8" s="12" t="n">
        <f aca="false">B8*0.25</f>
        <v>58.4040178571429</v>
      </c>
      <c r="E8" s="27" t="n">
        <f aca="false">B8-$C$4</f>
        <v>93.4464285714286</v>
      </c>
    </row>
    <row r="9" customFormat="false" ht="15" hidden="false" customHeight="false" outlineLevel="0" collapsed="false">
      <c r="A9" s="22" t="n">
        <v>0.5</v>
      </c>
      <c r="B9" s="25" t="n">
        <f aca="false">IF((1-A9)=0,0,$C$4/(1-A9))</f>
        <v>280.339285714286</v>
      </c>
      <c r="C9" s="12" t="n">
        <f aca="false">B9*0.5</f>
        <v>140.169642857143</v>
      </c>
      <c r="D9" s="12" t="n">
        <f aca="false">B9*0.25</f>
        <v>70.0848214285714</v>
      </c>
      <c r="E9" s="27" t="n">
        <f aca="false">B9-$C$4</f>
        <v>140.169642857143</v>
      </c>
    </row>
    <row r="10" customFormat="false" ht="15" hidden="false" customHeight="false" outlineLevel="0" collapsed="false">
      <c r="A10" s="22" t="n">
        <v>0.6</v>
      </c>
      <c r="B10" s="25" t="n">
        <f aca="false">IF((1-A10)=0,0,$C$4/(1-A10))</f>
        <v>350.424107142857</v>
      </c>
      <c r="C10" s="12" t="n">
        <f aca="false">B10*0.5</f>
        <v>175.212053571429</v>
      </c>
      <c r="D10" s="12" t="n">
        <f aca="false">B10*0.25</f>
        <v>87.6060267857143</v>
      </c>
      <c r="E10" s="27" t="n">
        <f aca="false">B10-$C$4</f>
        <v>210.254464285714</v>
      </c>
    </row>
    <row r="12" customFormat="false" ht="15" hidden="false" customHeight="true" outlineLevel="0" collapsed="false">
      <c r="A12" s="28" t="s">
        <v>53</v>
      </c>
      <c r="B12" s="28"/>
      <c r="C12" s="28"/>
      <c r="D12" s="28"/>
      <c r="E12" s="28"/>
    </row>
    <row r="13" customFormat="false" ht="15" hidden="false" customHeight="false" outlineLevel="0" collapsed="false">
      <c r="A13" s="28"/>
      <c r="B13" s="28"/>
      <c r="C13" s="28"/>
      <c r="D13" s="28"/>
      <c r="E13" s="28"/>
    </row>
    <row r="14" customFormat="false" ht="15" hidden="false" customHeight="false" outlineLevel="0" collapsed="false">
      <c r="A14" s="28"/>
      <c r="B14" s="28"/>
      <c r="C14" s="28"/>
      <c r="D14" s="28"/>
      <c r="E14" s="28"/>
    </row>
  </sheetData>
  <mergeCells count="4">
    <mergeCell ref="A1:E1"/>
    <mergeCell ref="A2:E2"/>
    <mergeCell ref="A4:B4"/>
    <mergeCell ref="A12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4"/>
  </cols>
  <sheetData>
    <row r="1" customFormat="false" ht="19.7" hidden="false" customHeight="false" outlineLevel="0" collapsed="false">
      <c r="A1" s="26" t="s">
        <v>54</v>
      </c>
      <c r="B1" s="26"/>
    </row>
    <row r="3" customFormat="false" ht="25.5" hidden="false" customHeight="true" outlineLevel="0" collapsed="false">
      <c r="A3" s="29" t="s">
        <v>55</v>
      </c>
      <c r="B3" s="30" t="s">
        <v>56</v>
      </c>
    </row>
    <row r="4" customFormat="false" ht="25.5" hidden="false" customHeight="true" outlineLevel="0" collapsed="false">
      <c r="A4" s="29" t="s">
        <v>57</v>
      </c>
      <c r="B4" s="30" t="s">
        <v>58</v>
      </c>
    </row>
    <row r="5" customFormat="false" ht="25.5" hidden="false" customHeight="true" outlineLevel="0" collapsed="false">
      <c r="A5" s="29" t="s">
        <v>59</v>
      </c>
      <c r="B5" s="30" t="s">
        <v>60</v>
      </c>
    </row>
    <row r="6" customFormat="false" ht="25.5" hidden="false" customHeight="true" outlineLevel="0" collapsed="false">
      <c r="A6" s="29" t="s">
        <v>61</v>
      </c>
      <c r="B6" s="30" t="s">
        <v>62</v>
      </c>
    </row>
    <row r="7" customFormat="false" ht="25.5" hidden="false" customHeight="true" outlineLevel="0" collapsed="false">
      <c r="A7" s="29" t="s">
        <v>63</v>
      </c>
      <c r="B7" s="30" t="s">
        <v>64</v>
      </c>
    </row>
    <row r="8" customFormat="false" ht="25.5" hidden="false" customHeight="true" outlineLevel="0" collapsed="false">
      <c r="A8" s="29" t="s">
        <v>65</v>
      </c>
      <c r="B8" s="30" t="s">
        <v>66</v>
      </c>
    </row>
    <row r="9" customFormat="false" ht="25.5" hidden="false" customHeight="true" outlineLevel="0" collapsed="false">
      <c r="A9" s="31"/>
      <c r="B9" s="30"/>
    </row>
    <row r="10" customFormat="false" ht="25.5" hidden="false" customHeight="true" outlineLevel="0" collapsed="false">
      <c r="A10" s="31" t="s">
        <v>67</v>
      </c>
      <c r="B10" s="30" t="s">
        <v>68</v>
      </c>
    </row>
    <row r="11" customFormat="false" ht="25.5" hidden="false" customHeight="true" outlineLevel="0" collapsed="false">
      <c r="A11" s="31" t="s">
        <v>69</v>
      </c>
      <c r="B11" s="30" t="s">
        <v>70</v>
      </c>
    </row>
    <row r="12" customFormat="false" ht="25.5" hidden="false" customHeight="true" outlineLevel="0" collapsed="false">
      <c r="A12" s="31" t="s">
        <v>71</v>
      </c>
      <c r="B12" s="30" t="s">
        <v>72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2026-06-02T16:12:38Z</dcterms:created>
  <dc:creator>openpyxl</dc:creator>
  <dc:description/>
  <dc:language>en-US</dc:language>
  <cp:lastModifiedBy/>
  <dcterms:modified xsi:type="dcterms:W3CDTF">2026-06-02T16:12:38Z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